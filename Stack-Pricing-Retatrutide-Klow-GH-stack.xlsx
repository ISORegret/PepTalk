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kit prices" sheetId="1" state="visible" r:id="rId1"/>
    <sheet name="Best vendor picks" sheetId="2" state="visible" r:id="rId2"/>
    <sheet name="Kit vs single vial" sheetId="3" state="visible" r:id="rId3"/>
    <sheet name="Dosing and reorder" sheetId="4" state="visible" r:id="rId4"/>
    <sheet name="Monthly stack 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Stack: Retatrutide 10 mg + Klow 80 mg + Tesamorelin 10 mg + Ipamorelin + CJC (no DAC); optional CP10 (Ipa 5 mg + CJC 5 mg per vial)</t>
        </is>
      </c>
    </row>
    <row r="2">
      <c r="A2" t="inlineStr">
        <is>
          <t>Kit = USD for 10 vials. $/vial = kit ÷ 10. Research-use only; verify SKU (no DAC vs DAC), COA, and shipping. PepTalk PDF was image-only (no extract).</t>
        </is>
      </c>
    </row>
    <row r="4">
      <c r="A4" s="2" t="inlineStr">
        <is>
          <t>Vendor</t>
        </is>
      </c>
      <c r="B4" s="2" t="inlineStr">
        <is>
          <t>Source</t>
        </is>
      </c>
      <c r="C4" s="2" t="inlineStr">
        <is>
          <t>Reta 10 mg kit</t>
        </is>
      </c>
      <c r="D4" s="2" t="inlineStr">
        <is>
          <t>Klow 80 mg kit</t>
        </is>
      </c>
      <c r="E4" s="2" t="inlineStr">
        <is>
          <t>Tesa 10 mg kit</t>
        </is>
      </c>
      <c r="F4" s="2" t="inlineStr">
        <is>
          <t>Ipa 10 mg kit</t>
        </is>
      </c>
      <c r="G4" s="2" t="inlineStr">
        <is>
          <t>Ipa 5 mg kit</t>
        </is>
      </c>
      <c r="H4" s="2" t="inlineStr">
        <is>
          <t>CJC no DAC 10 mg kit</t>
        </is>
      </c>
      <c r="I4" s="2" t="inlineStr">
        <is>
          <t>CJC no DAC 5 mg kit</t>
        </is>
      </c>
      <c r="J4" s="2" t="inlineStr">
        <is>
          <t>CP10 (5+5) kit</t>
        </is>
      </c>
    </row>
    <row r="5">
      <c r="A5" t="inlineStr">
        <is>
          <t>ZLZ (Dec 2025 list)</t>
        </is>
      </c>
      <c r="B5" t="inlineStr">
        <is>
          <t>PDF: zlz list 12.17 — tier 1–30 boxes</t>
        </is>
      </c>
      <c r="C5" t="n">
        <v>109</v>
      </c>
      <c r="D5" t="n">
        <v>250</v>
      </c>
      <c r="E5" t="n">
        <v>200</v>
      </c>
      <c r="F5" t="n">
        <v>81</v>
      </c>
      <c r="G5" t="n">
        <v>41</v>
      </c>
      <c r="H5" t="n">
        <v>185</v>
      </c>
      <c r="I5" t="n">
        <v>95</v>
      </c>
      <c r="J5" t="n">
        <v>122</v>
      </c>
    </row>
    <row r="6">
      <c r="A6" t="inlineStr">
        <is>
          <t>TCI — Tianjin Cangtu</t>
        </is>
      </c>
      <c r="B6" t="inlineStr">
        <is>
          <t>PDF: Peptide Price List_TCI — &lt;10 kits</t>
        </is>
      </c>
      <c r="C6" t="n">
        <v>130</v>
      </c>
      <c r="E6" t="n">
        <v>180</v>
      </c>
      <c r="F6" t="n">
        <v>75</v>
      </c>
      <c r="G6" t="n">
        <v>45</v>
      </c>
      <c r="H6" t="n">
        <v>110</v>
      </c>
      <c r="I6" t="n">
        <v>60</v>
      </c>
      <c r="J6" t="n">
        <v>100</v>
      </c>
    </row>
    <row r="7">
      <c r="A7" t="inlineStr">
        <is>
          <t>FitPeptideLap warehouse</t>
        </is>
      </c>
      <c r="B7" t="inlineStr">
        <is>
          <t>PDF: FitPeptideLap updated warehouse pricelist</t>
        </is>
      </c>
      <c r="C7" t="n">
        <v>120</v>
      </c>
      <c r="D7" t="n">
        <v>260</v>
      </c>
      <c r="E7" t="n">
        <v>210</v>
      </c>
      <c r="F7" t="n">
        <v>150</v>
      </c>
      <c r="G7" t="n">
        <v>80</v>
      </c>
      <c r="H7" t="n">
        <v>140</v>
      </c>
      <c r="I7" t="n">
        <v>80</v>
      </c>
      <c r="J7" t="n">
        <v>150</v>
      </c>
    </row>
    <row r="8">
      <c r="A8" t="inlineStr">
        <is>
          <t>Michelle list</t>
        </is>
      </c>
      <c r="B8" t="inlineStr">
        <is>
          <t>Screenshot (michelleking1015@gmail.com)</t>
        </is>
      </c>
      <c r="C8" t="n">
        <v>100</v>
      </c>
      <c r="D8" t="n">
        <v>190</v>
      </c>
      <c r="E8" t="n">
        <v>160</v>
      </c>
      <c r="F8" t="n">
        <v>75</v>
      </c>
      <c r="H8" t="n">
        <v>140</v>
      </c>
      <c r="I8" t="n">
        <v>80</v>
      </c>
      <c r="J8" t="n">
        <v>135</v>
      </c>
    </row>
    <row r="9">
      <c r="A9" t="inlineStr">
        <is>
          <t>Vicky</t>
        </is>
      </c>
      <c r="B9" t="inlineStr">
        <is>
          <t>Screenshot — 10-vial kits</t>
        </is>
      </c>
      <c r="C9" t="n">
        <v>88</v>
      </c>
      <c r="D9" t="n">
        <v>170</v>
      </c>
      <c r="E9" t="n">
        <v>148</v>
      </c>
      <c r="F9" t="n">
        <v>65</v>
      </c>
      <c r="G9" t="n">
        <v>45</v>
      </c>
      <c r="H9" t="n">
        <v>158</v>
      </c>
      <c r="I9" t="n">
        <v>75</v>
      </c>
      <c r="J9" t="n">
        <v>100</v>
      </c>
    </row>
    <row r="10">
      <c r="A10" t="inlineStr">
        <is>
          <t>BaoHuaDongNuo</t>
        </is>
      </c>
      <c r="B10" t="inlineStr">
        <is>
          <t>Screenshot</t>
        </is>
      </c>
      <c r="C10" t="n">
        <v>90</v>
      </c>
      <c r="D10" t="n">
        <v>180</v>
      </c>
      <c r="E10" t="n">
        <v>150</v>
      </c>
      <c r="F10" t="n">
        <v>70</v>
      </c>
      <c r="G10" t="n">
        <v>50</v>
      </c>
      <c r="H10" t="n">
        <v>110</v>
      </c>
      <c r="I10" t="n">
        <v>75</v>
      </c>
    </row>
    <row r="11">
      <c r="A11" t="inlineStr">
        <is>
          <t>HK peptide / Nicole</t>
        </is>
      </c>
      <c r="B11" t="inlineStr">
        <is>
          <t>Screenshot — HK USD list; CJC 10 mg N/A on sheet</t>
        </is>
      </c>
      <c r="C11" t="n">
        <v>109</v>
      </c>
      <c r="D11" t="n">
        <v>240</v>
      </c>
      <c r="E11" t="n">
        <v>175</v>
      </c>
      <c r="G11" t="n">
        <v>65</v>
      </c>
      <c r="I11" t="n">
        <v>75</v>
      </c>
      <c r="J11" t="n">
        <v>122</v>
      </c>
    </row>
    <row r="13">
      <c r="A13" t="inlineStr">
        <is>
          <t>MIN (best kit $)</t>
        </is>
      </c>
      <c r="C13">
        <f>MIN(C5:C11)</f>
        <v/>
      </c>
      <c r="D13">
        <f>MIN(D5:D11)</f>
        <v/>
      </c>
      <c r="E13">
        <f>MIN(E5:E11)</f>
        <v/>
      </c>
      <c r="F13">
        <f>MIN(F5:F11)</f>
        <v/>
      </c>
      <c r="G13">
        <f>MIN(G5:G11)</f>
        <v/>
      </c>
      <c r="H13">
        <f>MIN(H5:H11)</f>
        <v/>
      </c>
      <c r="I13">
        <f>MIN(I5:I11)</f>
        <v/>
      </c>
      <c r="J13">
        <f>MIN(J5:J11)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>
      <c r="A1" t="inlineStr">
        <is>
          <t>Lowest kit $ by column (from Vendor kit prices). Confirm the vendor still lists that SKU.</t>
        </is>
      </c>
    </row>
    <row r="3">
      <c r="A3" s="2" t="inlineStr">
        <is>
          <t>Item</t>
        </is>
      </c>
      <c r="B3" s="2" t="inlineStr">
        <is>
          <t>Lowest kit ($)</t>
        </is>
      </c>
      <c r="C3" s="2" t="inlineStr">
        <is>
          <t>Vendor</t>
        </is>
      </c>
      <c r="D3" s="2" t="n"/>
    </row>
    <row r="4">
      <c r="A4" t="inlineStr">
        <is>
          <t>Retatrutide 10 mg</t>
        </is>
      </c>
      <c r="B4">
        <f>MIN('Vendor kit prices'!C5:C11)</f>
        <v/>
      </c>
      <c r="C4">
        <f>INDEX('Vendor kit prices'!$A$5:$A$11,MATCH(MIN('Vendor kit prices'!C5:C11),'Vendor kit prices'!C5:C11,0))</f>
        <v/>
      </c>
    </row>
    <row r="5">
      <c r="A5" t="inlineStr">
        <is>
          <t>Klow 80 mg</t>
        </is>
      </c>
      <c r="B5">
        <f>MIN('Vendor kit prices'!D5:D11)</f>
        <v/>
      </c>
      <c r="C5">
        <f>INDEX('Vendor kit prices'!$A$5:$A$11,MATCH(MIN('Vendor kit prices'!D5:D11),'Vendor kit prices'!D5:D11,0))</f>
        <v/>
      </c>
    </row>
    <row r="6">
      <c r="A6" t="inlineStr">
        <is>
          <t>Tesamorelin 10 mg</t>
        </is>
      </c>
      <c r="B6">
        <f>MIN('Vendor kit prices'!E5:E11)</f>
        <v/>
      </c>
      <c r="C6">
        <f>INDEX('Vendor kit prices'!$A$5:$A$11,MATCH(MIN('Vendor kit prices'!E5:E11),'Vendor kit prices'!E5:E11,0))</f>
        <v/>
      </c>
    </row>
    <row r="7">
      <c r="A7" t="inlineStr">
        <is>
          <t>Ipamorelin 10 mg</t>
        </is>
      </c>
      <c r="B7">
        <f>MIN('Vendor kit prices'!F5:F11)</f>
        <v/>
      </c>
      <c r="C7">
        <f>INDEX('Vendor kit prices'!$A$5:$A$11,MATCH(MIN('Vendor kit prices'!F5:F11),'Vendor kit prices'!F5:F11,0))</f>
        <v/>
      </c>
    </row>
    <row r="8">
      <c r="A8" t="inlineStr">
        <is>
          <t>Ipamorelin 5 mg</t>
        </is>
      </c>
      <c r="B8">
        <f>MIN('Vendor kit prices'!G5:G11)</f>
        <v/>
      </c>
      <c r="C8">
        <f>INDEX('Vendor kit prices'!$A$5:$A$11,MATCH(MIN('Vendor kit prices'!G5:G11),'Vendor kit prices'!G5:G11,0))</f>
        <v/>
      </c>
    </row>
    <row r="9">
      <c r="A9" t="inlineStr">
        <is>
          <t>CJC no DAC 10 mg</t>
        </is>
      </c>
      <c r="B9">
        <f>MIN('Vendor kit prices'!H5:H11)</f>
        <v/>
      </c>
      <c r="C9">
        <f>INDEX('Vendor kit prices'!$A$5:$A$11,MATCH(MIN('Vendor kit prices'!H5:H11),'Vendor kit prices'!H5:H11,0))</f>
        <v/>
      </c>
    </row>
    <row r="10">
      <c r="A10" t="inlineStr">
        <is>
          <t>CJC no DAC 5 mg</t>
        </is>
      </c>
      <c r="B10">
        <f>MIN('Vendor kit prices'!I5:I11)</f>
        <v/>
      </c>
      <c r="C10">
        <f>INDEX('Vendor kit prices'!$A$5:$A$11,MATCH(MIN('Vendor kit prices'!I5:I11),'Vendor kit prices'!I5:I11,0))</f>
        <v/>
      </c>
    </row>
    <row r="11">
      <c r="A11" t="inlineStr">
        <is>
          <t>CP10 (5+5)</t>
        </is>
      </c>
      <c r="B11">
        <f>MIN('Vendor kit prices'!J5:J11)</f>
        <v/>
      </c>
      <c r="C11">
        <f>INDEX('Vendor kit prices'!$A$5:$A$11,MATCH(MIN('Vendor kit prices'!J5:J11),'Vendor kit prices'!J5:J11,0))</f>
        <v/>
      </c>
    </row>
    <row r="14">
      <c r="A14" t="inlineStr">
        <is>
          <t>Notes</t>
        </is>
      </c>
    </row>
    <row r="15">
      <c r="A15" s="3" t="inlineStr">
        <is>
          <t>• TCI Klow 80 mg: not on extracted PDF pages — left blank.
• HK peptide: no 10 mg CJC price on your screenshot; 5 mg kit shown.
• 6/3/3 Tesa/Ipa/CJC blend is not CP10; price single vial on Kit vs single sheet only.
• Cheapest per component may be split across vendors — add shipping before deciding.</t>
        </is>
      </c>
    </row>
    <row r="16"/>
    <row r="17"/>
    <row r="18"/>
    <row r="19"/>
  </sheetData>
  <mergeCells count="2">
    <mergeCell ref="A1:D1"/>
    <mergeCell ref="A15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10 × your single-vial price vs lowest 10-vial kit from the table (same nominal strength per vial).</t>
        </is>
      </c>
    </row>
    <row r="3">
      <c r="A3" s="2" t="inlineStr">
        <is>
          <t>Product</t>
        </is>
      </c>
      <c r="B3" s="2" t="inlineStr">
        <is>
          <t>Single-vial ($)</t>
        </is>
      </c>
      <c r="C3" s="2" t="inlineStr">
        <is>
          <t>10 × singles ($)</t>
        </is>
      </c>
      <c r="D3" s="2" t="inlineStr">
        <is>
          <t>MIN kit ($)</t>
        </is>
      </c>
      <c r="E3" s="2" t="inlineStr">
        <is>
          <t>$/vial from kit</t>
        </is>
      </c>
      <c r="F3" s="2" t="inlineStr">
        <is>
          <t>Savings (10 singles − kit)</t>
        </is>
      </c>
    </row>
    <row r="4">
      <c r="A4" t="inlineStr">
        <is>
          <t>Retatrutide 10 mg</t>
        </is>
      </c>
      <c r="B4" t="n">
        <v>17.99</v>
      </c>
      <c r="C4">
        <f>IF(B4="","",B4*10)</f>
        <v/>
      </c>
      <c r="D4">
        <f>MIN('Vendor kit prices'!C5:C11)</f>
        <v/>
      </c>
      <c r="E4">
        <f>IF(OR(D4="",D4="—"),"",D4/10)</f>
        <v/>
      </c>
      <c r="F4">
        <f>IF(OR(D4="",D4="—"),"",C4-D4)</f>
        <v/>
      </c>
    </row>
    <row r="5">
      <c r="A5" t="inlineStr">
        <is>
          <t>Klow 80 mg</t>
        </is>
      </c>
      <c r="B5" t="n">
        <v>40.88</v>
      </c>
      <c r="C5">
        <f>IF(B5="","",B5*10)</f>
        <v/>
      </c>
      <c r="D5">
        <f>MIN('Vendor kit prices'!D5:D11)</f>
        <v/>
      </c>
      <c r="E5">
        <f>IF(OR(D5="",D5="—"),"",D5/10)</f>
        <v/>
      </c>
      <c r="F5">
        <f>IF(OR(D5="",D5="—"),"",C5-D5)</f>
        <v/>
      </c>
    </row>
    <row r="6">
      <c r="A6" t="inlineStr">
        <is>
          <t>Tesamorelin 10 mg</t>
        </is>
      </c>
      <c r="B6" t="n">
        <v>31.88</v>
      </c>
      <c r="C6">
        <f>IF(B6="","",B6*10)</f>
        <v/>
      </c>
      <c r="D6">
        <f>MIN('Vendor kit prices'!E5:E11)</f>
        <v/>
      </c>
      <c r="E6">
        <f>IF(OR(D6="",D6="—"),"",D6/10)</f>
        <v/>
      </c>
      <c r="F6">
        <f>IF(OR(D6="",D6="—"),"",C6-D6)</f>
        <v/>
      </c>
    </row>
    <row r="7">
      <c r="A7" t="inlineStr">
        <is>
          <t>Ipamorelin 5 mg single (your price)</t>
        </is>
      </c>
      <c r="B7" t="n">
        <v>21.44</v>
      </c>
      <c r="C7">
        <f>IF(B7="","",B7*10)</f>
        <v/>
      </c>
      <c r="D7">
        <f>MIN('Vendor kit prices'!G5:G11)</f>
        <v/>
      </c>
      <c r="E7">
        <f>IF(OR(D7="",D7="—"),"",D7/10)</f>
        <v/>
      </c>
      <c r="F7">
        <f>IF(OR(D7="",D7="—"),"",C7-D7)</f>
        <v/>
      </c>
    </row>
    <row r="8">
      <c r="A8" t="inlineStr">
        <is>
          <t>CJC no DAC 10 mg</t>
        </is>
      </c>
      <c r="B8" t="n">
        <v>29.99</v>
      </c>
      <c r="C8">
        <f>IF(B8="","",B8*10)</f>
        <v/>
      </c>
      <c r="D8">
        <f>MIN('Vendor kit prices'!H5:H11)</f>
        <v/>
      </c>
      <c r="E8">
        <f>IF(OR(D8="",D8="—"),"",D8/10)</f>
        <v/>
      </c>
      <c r="F8">
        <f>IF(OR(D8="",D8="—"),"",C8-D8)</f>
        <v/>
      </c>
    </row>
    <row r="9">
      <c r="A9" t="inlineStr">
        <is>
          <t>CP10 (5+5) kit — no single-vial baseline</t>
        </is>
      </c>
      <c r="C9">
        <f>IF(B9="","",B9*10)</f>
        <v/>
      </c>
      <c r="D9">
        <f>MIN('Vendor kit prices'!J5:J11)</f>
        <v/>
      </c>
      <c r="E9">
        <f>IF(OR(D9="",D9="—"),"",D9/10)</f>
        <v/>
      </c>
      <c r="F9">
        <f>IF(OR(D9="",D9="—"),"",C9-D9)</f>
        <v/>
      </c>
    </row>
    <row r="10">
      <c r="A10" t="inlineStr">
        <is>
          <t>Tesa/Ipa/CJC 6+3+3 blend (your single)</t>
        </is>
      </c>
      <c r="B10" t="n">
        <v>35.22</v>
      </c>
      <c r="C10">
        <f>IF(B10="","",B10*10)</f>
        <v/>
      </c>
      <c r="D10" t="inlineStr">
        <is>
          <t>—</t>
        </is>
      </c>
      <c r="E10">
        <f>IF(OR(D10="",D10="—"),"",D10/10)</f>
        <v/>
      </c>
      <c r="F10">
        <f>IF(OR(D10="",D10="—"),"",C10-D10)</f>
        <v/>
      </c>
    </row>
    <row r="12">
      <c r="A12" t="inlineStr">
        <is>
          <t>CP10 vs separate 5 mg kits (same total mg per vial)</t>
        </is>
      </c>
      <c r="D12">
        <f>MIN('Vendor kit prices'!J5:J11)-MIN('Vendor kit prices'!G5:G11)-MIN('Vendor kit prices'!I5:I11)</f>
        <v/>
      </c>
      <c r="E12" t="inlineStr">
        <is>
          <t>Negative = CP10 cheaper than Ipa5 + CJC5 kits</t>
        </is>
      </c>
    </row>
    <row r="14">
      <c r="A14" s="3" t="inlineStr">
        <is>
          <t>Longevity: a 10-vial kit lasts 10× as many weeks as one vial at the same mg/week. If singles cost less per vial than kit÷10, kits still save only if you will use all 10 vials.</t>
        </is>
      </c>
    </row>
    <row r="15"/>
  </sheetData>
  <mergeCells count="3">
    <mergeCell ref="E12:F12"/>
    <mergeCell ref="A14:F1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3" max="3"/>
  </cols>
  <sheetData>
    <row r="1">
      <c r="A1" t="inlineStr">
        <is>
          <t>Edit mg/week (column C) to match your protocol. Defaults are placeholders — not medical advice.</t>
        </is>
      </c>
    </row>
    <row r="3">
      <c r="A3" s="2" t="inlineStr">
        <is>
          <t>Line</t>
        </is>
      </c>
      <c r="B3" s="2" t="inlineStr">
        <is>
          <t>Vial total (mg)</t>
        </is>
      </c>
      <c r="C3" s="2" t="inlineStr">
        <is>
          <t>mg per week (edit)</t>
        </is>
      </c>
      <c r="D3" s="2" t="inlineStr">
        <is>
          <t>Weeks per vial</t>
        </is>
      </c>
      <c r="E3" s="2" t="inlineStr">
        <is>
          <t>Weeks per 10-vial kit</t>
        </is>
      </c>
    </row>
    <row r="4">
      <c r="A4" t="inlineStr">
        <is>
          <t>Retatrutide 10 mg</t>
        </is>
      </c>
      <c r="B4" t="n">
        <v>10</v>
      </c>
      <c r="C4" t="n">
        <v>2</v>
      </c>
      <c r="D4">
        <f>IF(C4=0,"",B4/C4)</f>
        <v/>
      </c>
      <c r="E4">
        <f>IF(C4=0,"",D4*10)</f>
        <v/>
      </c>
    </row>
    <row r="5">
      <c r="A5" t="inlineStr">
        <is>
          <t>Klow 80 mg (blend total)</t>
        </is>
      </c>
      <c r="B5" t="n">
        <v>80</v>
      </c>
      <c r="C5" t="n">
        <v>5</v>
      </c>
      <c r="D5">
        <f>IF(C5=0,"",B5/C5)</f>
        <v/>
      </c>
      <c r="E5">
        <f>IF(C5=0,"",D5*10)</f>
        <v/>
      </c>
    </row>
    <row r="6">
      <c r="A6" t="inlineStr">
        <is>
          <t>Tesamorelin 10 mg</t>
        </is>
      </c>
      <c r="B6" t="n">
        <v>10</v>
      </c>
      <c r="C6" t="n">
        <v>2</v>
      </c>
      <c r="D6">
        <f>IF(C6=0,"",B6/C6)</f>
        <v/>
      </c>
      <c r="E6">
        <f>IF(C6=0,"",D6*10)</f>
        <v/>
      </c>
    </row>
    <row r="7">
      <c r="A7" t="inlineStr">
        <is>
          <t>Ipamorelin 10 mg</t>
        </is>
      </c>
      <c r="B7" t="n">
        <v>10</v>
      </c>
      <c r="C7" t="n">
        <v>2</v>
      </c>
      <c r="D7">
        <f>IF(C7=0,"",B7/C7)</f>
        <v/>
      </c>
      <c r="E7">
        <f>IF(C7=0,"",D7*10)</f>
        <v/>
      </c>
    </row>
    <row r="8">
      <c r="A8" t="inlineStr">
        <is>
          <t>CJC no DAC 10 mg</t>
        </is>
      </c>
      <c r="B8" t="n">
        <v>10</v>
      </c>
      <c r="C8" t="n">
        <v>2</v>
      </c>
      <c r="D8">
        <f>IF(C8=0,"",B8/C8)</f>
        <v/>
      </c>
      <c r="E8">
        <f>IF(C8=0,"",D8*10)</f>
        <v/>
      </c>
    </row>
    <row r="11">
      <c r="A11" t="inlineStr">
        <is>
          <t>Reorder: set a reminder when remaining weeks ≤ your shipping lead time (e.g. 2 weeks).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$/month ≈ ($/vial ÷ weeks per vial) × 4.345. Uses MIN kit $ and Dosing sheet weeks. Split vendors = sum still valid for budget.</t>
        </is>
      </c>
    </row>
    <row r="3">
      <c r="A3" s="2" t="inlineStr">
        <is>
          <t>Component</t>
        </is>
      </c>
      <c r="B3" s="2" t="inlineStr">
        <is>
          <t>MIN kit ($)</t>
        </is>
      </c>
      <c r="C3" s="2" t="inlineStr">
        <is>
          <t>$/vial</t>
        </is>
      </c>
      <c r="D3" s="2" t="inlineStr">
        <is>
          <t>Weeks/vial (Dosing)</t>
        </is>
      </c>
      <c r="E3" s="2" t="inlineStr">
        <is>
          <t>$/month</t>
        </is>
      </c>
    </row>
    <row r="4">
      <c r="A4" t="inlineStr">
        <is>
          <t>Retatrutide 10 mg</t>
        </is>
      </c>
      <c r="B4">
        <f>MIN('Vendor kit prices'!C5:C11)</f>
        <v/>
      </c>
      <c r="C4">
        <f>B4/10</f>
        <v/>
      </c>
      <c r="D4">
        <f>Dosing and reorder!D4</f>
        <v/>
      </c>
      <c r="E4">
        <f>IF(D4=0,"",(C4/D4)*4.345)</f>
        <v/>
      </c>
    </row>
    <row r="5">
      <c r="A5" t="inlineStr">
        <is>
          <t>Klow 80 mg</t>
        </is>
      </c>
      <c r="B5">
        <f>MIN('Vendor kit prices'!D5:D11)</f>
        <v/>
      </c>
      <c r="C5">
        <f>B5/10</f>
        <v/>
      </c>
      <c r="D5">
        <f>Dosing and reorder!D5</f>
        <v/>
      </c>
      <c r="E5">
        <f>IF(D5=0,"",(C5/D5)*4.345)</f>
        <v/>
      </c>
    </row>
    <row r="6">
      <c r="A6" t="inlineStr">
        <is>
          <t>Tesamorelin 10 mg</t>
        </is>
      </c>
      <c r="B6">
        <f>MIN('Vendor kit prices'!E5:E11)</f>
        <v/>
      </c>
      <c r="C6">
        <f>B6/10</f>
        <v/>
      </c>
      <c r="D6">
        <f>Dosing and reorder!D6</f>
        <v/>
      </c>
      <c r="E6">
        <f>IF(D6=0,"",(C6/D6)*4.345)</f>
        <v/>
      </c>
    </row>
    <row r="7">
      <c r="A7" t="inlineStr">
        <is>
          <t>Ipamorelin 10 mg</t>
        </is>
      </c>
      <c r="B7">
        <f>MIN('Vendor kit prices'!F5:F11)</f>
        <v/>
      </c>
      <c r="C7">
        <f>B7/10</f>
        <v/>
      </c>
      <c r="D7">
        <f>Dosing and reorder!D7</f>
        <v/>
      </c>
      <c r="E7">
        <f>IF(D7=0,"",(C7/D7)*4.345)</f>
        <v/>
      </c>
    </row>
    <row r="8">
      <c r="A8" t="inlineStr">
        <is>
          <t>CJC no DAC 10 mg</t>
        </is>
      </c>
      <c r="B8">
        <f>MIN('Vendor kit prices'!H5:H11)</f>
        <v/>
      </c>
      <c r="C8">
        <f>B8/10</f>
        <v/>
      </c>
      <c r="D8">
        <f>Dosing and reorder!D8</f>
        <v/>
      </c>
      <c r="E8">
        <f>IF(D8=0,"",(C8/D8)*4.345)</f>
        <v/>
      </c>
    </row>
    <row r="9">
      <c r="A9" t="inlineStr">
        <is>
          <t>Approx. stack total / month</t>
        </is>
      </c>
      <c r="E9">
        <f>SUM(E4:E8)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2026-04-09T01:49:42Z</dcterms:created>
  <dcterms:modified xsi:type="dcterms:W3CDTF">2026-04-09T01:49:42Z</dcterms:modified>
</cp:coreProperties>
</file>